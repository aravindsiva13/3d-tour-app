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Overview" sheetId="1" state="visible" r:id="rId3"/>
    <sheet name="2. How It Works" sheetId="2" state="visible" r:id="rId4"/>
    <sheet name="3. Tools Used" sheetId="3" state="visible" r:id="rId5"/>
    <sheet name="4. Work" sheetId="4" state="visible" r:id="rId6"/>
    <sheet name="5. Price" sheetId="5" state="visible" r:id="rId7"/>
    <sheet name="6. Yearly Costs" sheetId="6" state="visible" r:id="rId8"/>
    <sheet name="7. Timeli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Estimate</author>
  </authors>
  <commentList>
    <comment ref="C22" authorId="0">
      <text>
        <r>
          <rPr>
            <sz val="10"/>
            <rFont val="Arial"/>
            <family val="2"/>
          </rPr>
          <t xml:space="preserve">No yearly maintenance contract. You only pay when you actually want a change.</t>
        </r>
      </text>
    </comment>
  </commentList>
</comments>
</file>

<file path=xl/sharedStrings.xml><?xml version="1.0" encoding="utf-8"?>
<sst xmlns="http://schemas.openxmlformats.org/spreadsheetml/2006/main" count="287" uniqueCount="257">
  <si>
    <t xml:space="preserve">Video Tour Website</t>
  </si>
  <si>
    <t xml:space="preserve">Price and plan  ·  28 July 2026  ·  Twelve space studios</t>
  </si>
  <si>
    <t xml:space="preserve">WHAT YOU GET</t>
  </si>
  <si>
    <t xml:space="preserve">The website</t>
  </si>
  <si>
    <t xml:space="preserve">A website for your property built around one video. When a visitor taps a menu item, the video flies them to that part of the property and stops there. The page never reloads.</t>
  </si>
  <si>
    <t xml:space="preserve">Why it helps</t>
  </si>
  <si>
    <t xml:space="preserve">People watch instead of scrolling. They stay longer, see more, and are more likely to call you.</t>
  </si>
  <si>
    <t xml:space="preserve">How it runs</t>
  </si>
  <si>
    <t xml:space="preserve">The site is made of simple files served from the internet's fastest network. There is no server to rent and nothing that can crash.</t>
  </si>
  <si>
    <t xml:space="preserve">Works on</t>
  </si>
  <si>
    <t xml:space="preserve">iPhone, Android, iPad, laptop and desktop. On a slow network it shows photos instead of video, so the site still works.</t>
  </si>
  <si>
    <t xml:space="preserve">How it works</t>
  </si>
  <si>
    <t xml:space="preserve">Step</t>
  </si>
  <si>
    <t xml:space="preserve">What the visitor sees</t>
  </si>
  <si>
    <t xml:space="preserve">What they do</t>
  </si>
  <si>
    <t xml:space="preserve">1  Opens the site</t>
  </si>
  <si>
    <t xml:space="preserve">The video starts playing on its own. No sound. No play button. The project name fades in.</t>
  </si>
  <si>
    <t xml:space="preserve">Just watches</t>
  </si>
  <si>
    <t xml:space="preserve">2  Video stops</t>
  </si>
  <si>
    <t xml:space="preserve">The video stops on a nice frame. That frame stays on screen as the background. A menu bar appears at the bottom.</t>
  </si>
  <si>
    <t xml:space="preserve">Reads the menu, taps one</t>
  </si>
  <si>
    <t xml:space="preserve">3  Camera flies</t>
  </si>
  <si>
    <t xml:space="preserve">The camera flies to that part of the property. It takes 2 to 3 seconds.</t>
  </si>
  <si>
    <t xml:space="preserve">Watches. Taps do not work during the flight.</t>
  </si>
  <si>
    <t xml:space="preserve">4  Menu opens</t>
  </si>
  <si>
    <t xml:space="preserve">A clear glass panel slides in from the right. It lists what is in that area. For example: Gym, Pool, Lounge.</t>
  </si>
  <si>
    <t xml:space="preserve">Taps one item</t>
  </si>
  <si>
    <t xml:space="preserve">5  Photos open</t>
  </si>
  <si>
    <t xml:space="preserve">Photos of that room fill the screen. Small round buttons on the left switch between View 1, View 2, View 3.</t>
  </si>
  <si>
    <t xml:space="preserve">Swipes through the photos</t>
  </si>
  <si>
    <t xml:space="preserve">6  360° view</t>
  </si>
  <si>
    <t xml:space="preserve">If that room has a 360° photo, a button appears. Tapping it lets them look all around the room.</t>
  </si>
  <si>
    <t xml:space="preserve">Drags to look around, pinches to zoom</t>
  </si>
  <si>
    <t xml:space="preserve">7  Floor plans</t>
  </si>
  <si>
    <t xml:space="preserve">Tabs for each flat type.  Built-up area and facing. They can zoom into the drawing.</t>
  </si>
  <si>
    <t xml:space="preserve">Compares the flats</t>
  </si>
  <si>
    <t xml:space="preserve">8  Map</t>
  </si>
  <si>
    <t xml:space="preserve">A map with pins for schools, hospitals, metro and malls. Each pin shows the drive time.</t>
  </si>
  <si>
    <t xml:space="preserve">Checks what is nearby</t>
  </si>
  <si>
    <t xml:space="preserve">9  Back to start</t>
  </si>
  <si>
    <t xml:space="preserve">Tapping home takes them back to the first frame.</t>
  </si>
  <si>
    <t xml:space="preserve">Explores another area</t>
  </si>
  <si>
    <t xml:space="preserve">10  Contact</t>
  </si>
  <si>
    <t xml:space="preserve">A WhatsApp or call button so they can reach you.</t>
  </si>
  <si>
    <t xml:space="preserve">Calls or messages you</t>
  </si>
  <si>
    <t xml:space="preserve">Tools used</t>
  </si>
  <si>
    <t xml:space="preserve">Every tool here is free. Nothing charges you per visitor. You will never get a surprise bill.</t>
  </si>
  <si>
    <t xml:space="preserve">Part</t>
  </si>
  <si>
    <t xml:space="preserve">Tool</t>
  </si>
  <si>
    <t xml:space="preserve">Why</t>
  </si>
  <si>
    <t xml:space="preserve">Cost</t>
  </si>
  <si>
    <t xml:space="preserve">Website base</t>
  </si>
  <si>
    <t xml:space="preserve">Next.js</t>
  </si>
  <si>
    <t xml:space="preserve">A well known tool used by big companies. It makes plain files that can be hosted anywhere for free.</t>
  </si>
  <si>
    <t xml:space="preserve">Free</t>
  </si>
  <si>
    <t xml:space="preserve">Code safety</t>
  </si>
  <si>
    <t xml:space="preserve">TypeScript</t>
  </si>
  <si>
    <t xml:space="preserve">Catches mistakes before the site goes live, not after.</t>
  </si>
  <si>
    <t xml:space="preserve">Look and feel</t>
  </si>
  <si>
    <t xml:space="preserve">Tailwind CSS</t>
  </si>
  <si>
    <t xml:space="preserve">Fast to style and easy for any developer to pick up later.</t>
  </si>
  <si>
    <t xml:space="preserve">Smooth motion</t>
  </si>
  <si>
    <t xml:space="preserve">GSAP</t>
  </si>
  <si>
    <t xml:space="preserve">Makes the panels slide in smoothly, like a film.</t>
  </si>
  <si>
    <t xml:space="preserve">Video</t>
  </si>
  <si>
    <t xml:space="preserve">Built into the browser</t>
  </si>
  <si>
    <t xml:space="preserve">One video file. No video hosting bill, no per-minute charge.</t>
  </si>
  <si>
    <t xml:space="preserve">360° view</t>
  </si>
  <si>
    <t xml:space="preserve">three.js</t>
  </si>
  <si>
    <t xml:space="preserve">Wraps the 360° photo around the viewer. Custom touch controls so it feels right on a phone.</t>
  </si>
  <si>
    <t xml:space="preserve">Floor plans</t>
  </si>
  <si>
    <t xml:space="preserve">Zoom and pan tool</t>
  </si>
  <si>
    <t xml:space="preserve">Pinch to zoom works properly on mobile.</t>
  </si>
  <si>
    <t xml:space="preserve">Map</t>
  </si>
  <si>
    <t xml:space="preserve">Mapbox with free map tiles</t>
  </si>
  <si>
    <t xml:space="preserve">Google Maps charges per map view and needs a credit card. This does not.</t>
  </si>
  <si>
    <t xml:space="preserve">Icons</t>
  </si>
  <si>
    <t xml:space="preserve">Lucide</t>
  </si>
  <si>
    <t xml:space="preserve">Clean, simple icon set.</t>
  </si>
  <si>
    <t xml:space="preserve">Fonts</t>
  </si>
  <si>
    <t xml:space="preserve">Google Fonts</t>
  </si>
  <si>
    <t xml:space="preserve">Served from your own site, so it loads fast.</t>
  </si>
  <si>
    <t xml:space="preserve">Video processing</t>
  </si>
  <si>
    <t xml:space="preserve">FFmpeg</t>
  </si>
  <si>
    <t xml:space="preserve">Shrinks your video for the web without losing quality.</t>
  </si>
  <si>
    <t xml:space="preserve">Hosting</t>
  </si>
  <si>
    <t xml:space="preserve">Cloudflare Pages</t>
  </si>
  <si>
    <t xml:space="preserve">Free plan. Fast worldwide. Free HTTPS lock.</t>
  </si>
  <si>
    <t xml:space="preserve">Code storage</t>
  </si>
  <si>
    <t xml:space="preserve">GitHub, private</t>
  </si>
  <si>
    <t xml:space="preserve">Your code is safe and it becomes yours once everything completed.</t>
  </si>
  <si>
    <t xml:space="preserve">No tool on this list has a monthly fee. Your only bill is the domain name, about ₹800 to 1200 a year.</t>
  </si>
  <si>
    <t xml:space="preserve">The work, day by day</t>
  </si>
  <si>
    <t xml:space="preserve">15 days of work in total. Each line is a piece of the job. One day is 8 hours of real work.</t>
  </si>
  <si>
    <t xml:space="preserve">Task</t>
  </si>
  <si>
    <t xml:space="preserve">What is done</t>
  </si>
  <si>
    <t xml:space="preserve">Days</t>
  </si>
  <si>
    <t xml:space="preserve">Kickoff and planning</t>
  </si>
  <si>
    <t xml:space="preserve">Agree the menu structure, collect all your photos, video, plans and text.</t>
  </si>
  <si>
    <t xml:space="preserve">Setup and your branding</t>
  </si>
  <si>
    <t xml:space="preserve">Set up the project, apply your logo, colours and fonts.</t>
  </si>
  <si>
    <t xml:space="preserve">Video engine</t>
  </si>
  <si>
    <t xml:space="preserve">Make the video fly to the right place and stop cleanly. Handle slow networks. Make sure taps do not break it mid-flight.</t>
  </si>
  <si>
    <t xml:space="preserve">Menus</t>
  </si>
  <si>
    <t xml:space="preserve">Bottom menu bar and the sliding side panel, filled with your real menu items.</t>
  </si>
  <si>
    <t xml:space="preserve">Photo gallery</t>
  </si>
  <si>
    <t xml:space="preserve">Full screen photos for each room, with the view switcher.</t>
  </si>
  <si>
    <t xml:space="preserve">360° viewer</t>
  </si>
  <si>
    <t xml:space="preserve">Connect your 360° photos so visitors can look around each room.</t>
  </si>
  <si>
    <t xml:space="preserve">Tabs for each flat type, with area and facing details, and pinch to zoom.</t>
  </si>
  <si>
    <t xml:space="preserve">Location map</t>
  </si>
  <si>
    <t xml:space="preserve">Map with your pins and drive times.</t>
  </si>
  <si>
    <t xml:space="preserve">Video and photo processing</t>
  </si>
  <si>
    <t xml:space="preserve">Shrink the video for fast loading, and mark the exact time point for every menu item.</t>
  </si>
  <si>
    <t xml:space="preserve">Mobile and accessibility</t>
  </si>
  <si>
    <t xml:space="preserve">Make it work well on small screens. Make it usable with a keyboard.</t>
  </si>
  <si>
    <t xml:space="preserve">Google and WhatsApp sharing</t>
  </si>
  <si>
    <t xml:space="preserve">Page title, search description, WhatsApp share picture, RERA number and disclaimer.</t>
  </si>
  <si>
    <t xml:space="preserve">Testing on real phones</t>
  </si>
  <si>
    <t xml:space="preserve">Test on a real iPhone and a real Android. Fix what breaks.</t>
  </si>
  <si>
    <t xml:space="preserve">Launch </t>
  </si>
  <si>
    <t xml:space="preserve">Put it live on your domain.</t>
  </si>
  <si>
    <t xml:space="preserve">Total</t>
  </si>
  <si>
    <t xml:space="preserve">NOT IN THIS PRICE — WE CAN ADD THESE LATER</t>
  </si>
  <si>
    <t xml:space="preserve">Feature</t>
  </si>
  <si>
    <t xml:space="preserve">Why it is not included now</t>
  </si>
  <si>
    <t xml:space="preserve">Enquiry form</t>
  </si>
  <si>
    <t xml:space="preserve">A form needs a small backend. A WhatsApp button does the same job for free, so we use that first.</t>
  </si>
  <si>
    <t xml:space="preserve">Clickable dots on the video</t>
  </si>
  <si>
    <t xml:space="preserve">Nice to have, but the menu already gets people everywhere. Saves 2 days now.</t>
  </si>
  <si>
    <t xml:space="preserve">Brochure download with email capture</t>
  </si>
  <si>
    <t xml:space="preserve">Add it once you know people are actually visiting.</t>
  </si>
  <si>
    <t xml:space="preserve">CRM connection</t>
  </si>
  <si>
    <t xml:space="preserve">Only worth it once you have steady leads coming in.</t>
  </si>
  <si>
    <t xml:space="preserve">Extra language</t>
  </si>
  <si>
    <t xml:space="preserve">Per language. You give me the translation.</t>
  </si>
  <si>
    <t xml:space="preserve">Extra 360° photo</t>
  </si>
  <si>
    <t xml:space="preserve">Per photo, beyond the six included.</t>
  </si>
  <si>
    <t xml:space="preserve">Price</t>
  </si>
  <si>
    <t xml:space="preserve">All amounts in Rupees.</t>
  </si>
  <si>
    <t xml:space="preserve">WHAT YOU PAY</t>
  </si>
  <si>
    <t xml:space="preserve">Item</t>
  </si>
  <si>
    <t xml:space="preserve">Amount</t>
  </si>
  <si>
    <t xml:space="preserve">Notes</t>
  </si>
  <si>
    <t xml:space="preserve">Days of work</t>
  </si>
  <si>
    <t xml:space="preserve">The full list is on sheet 4.</t>
  </si>
  <si>
    <t xml:space="preserve">Total price</t>
  </si>
  <si>
    <t xml:space="preserve">One fixed price for the whole website. Nothing else to pay me.</t>
  </si>
  <si>
    <t xml:space="preserve">HOW YOU PAY</t>
  </si>
  <si>
    <t xml:space="preserve">When</t>
  </si>
  <si>
    <t xml:space="preserve">What has happened by then</t>
  </si>
  <si>
    <t xml:space="preserve">On starting</t>
  </si>
  <si>
    <t xml:space="preserve">You confirm, you send me all your photos and video, and I begin the same day.</t>
  </si>
  <si>
    <t xml:space="preserve">On launch</t>
  </si>
  <si>
    <t xml:space="preserve">The site is live on your domain, you are trained on the admin page, and the code is yours.</t>
  </si>
  <si>
    <t xml:space="preserve">The 30% on starting is mainly so we both take the dates seriously. .</t>
  </si>
  <si>
    <t xml:space="preserve">IF YOU SEND MORE THAN WE AGREED</t>
  </si>
  <si>
    <t xml:space="preserve">Extra</t>
  </si>
  <si>
    <t xml:space="preserve">Every 10 extra photos</t>
  </si>
  <si>
    <t xml:space="preserve">Over the 60 included. Each photo has to be resized, renamed and linked.</t>
  </si>
  <si>
    <t xml:space="preserve">Every extra 360° photo</t>
  </si>
  <si>
    <t xml:space="preserve">Over the 6 included. Each one needs checking and connecting.</t>
  </si>
  <si>
    <t xml:space="preserve">Every extra menu item</t>
  </si>
  <si>
    <t xml:space="preserve">Over the 5 included. Each one needs its own video time point.</t>
  </si>
  <si>
    <t xml:space="preserve">Every extra floor plan type</t>
  </si>
  <si>
    <t xml:space="preserve">Over the 3 included.</t>
  </si>
  <si>
    <t xml:space="preserve">Video longer than 90 seconds</t>
  </si>
  <si>
    <t xml:space="preserve">A longer video means re-compressing and re-marking every time point.</t>
  </si>
  <si>
    <t xml:space="preserve">A third round of changes</t>
  </si>
  <si>
    <t xml:space="preserve">Two rounds are included. This is per extra round.</t>
  </si>
  <si>
    <t xml:space="preserve">These are fixed prices, agreed before I do the extra work. Nothing is ever added to your bill without you saying yes first. Sending more files does not increase your hosting cost — that stays free. See sheet 6.</t>
  </si>
  <si>
    <t xml:space="preserve">WHAT IS NOT IN THIS PRICE</t>
  </si>
  <si>
    <t xml:space="preserve">Contact form, brochure download </t>
  </si>
  <si>
    <t xml:space="preserve">Yearly costs</t>
  </si>
  <si>
    <t xml:space="preserve">These are not part of my price. You pay these directly. I have picked the cheapest option each time.</t>
  </si>
  <si>
    <t xml:space="preserve">Where from</t>
  </si>
  <si>
    <t xml:space="preserve">How often</t>
  </si>
  <si>
    <t xml:space="preserve">Cost a year</t>
  </si>
  <si>
    <t xml:space="preserve">MUST HAVE — THE SITE CANNOT GO LIVE WITHOUT THESE</t>
  </si>
  <si>
    <t xml:space="preserve">Domain name</t>
  </si>
  <si>
    <t xml:space="preserve">Cloudflare or Namecheap. A .in domain is the cheapest.</t>
  </si>
  <si>
    <t xml:space="preserve">Yearly</t>
  </si>
  <si>
    <t xml:space="preserve">800-1200</t>
  </si>
  <si>
    <t xml:space="preserve">Cloudflare Pages. Free plan is enough for you.</t>
  </si>
  <si>
    <t xml:space="preserve">HTTPS lock</t>
  </si>
  <si>
    <t xml:space="preserve">Comes free with the hosting. Set up automatically.</t>
  </si>
  <si>
    <t xml:space="preserve">Data for the video</t>
  </si>
  <si>
    <t xml:space="preserve">Included free in the hosting plan.</t>
  </si>
  <si>
    <t xml:space="preserve">Domain settings</t>
  </si>
  <si>
    <t xml:space="preserve">Cloudflare. Free.</t>
  </si>
  <si>
    <t xml:space="preserve">Total you must pay each year</t>
  </si>
  <si>
    <t xml:space="preserve">ONLY IF YOU GROW — NOT NEEDED NOW</t>
  </si>
  <si>
    <t xml:space="preserve">Bigger hosting plan</t>
  </si>
  <si>
    <t xml:space="preserve">Only if you cross about 10,000 visitors a month.</t>
  </si>
  <si>
    <t xml:space="preserve">Backend for a contact form</t>
  </si>
  <si>
    <t xml:space="preserve">Cloudflare Workers. Free plan covers far more than you will need.</t>
  </si>
  <si>
    <t xml:space="preserve">SUPPORT AFTER LAUNCH</t>
  </si>
  <si>
    <t xml:space="preserve">Free fixes</t>
  </si>
  <si>
    <t xml:space="preserve">Anything broken in the first 30 days after launch, I fix free.</t>
  </si>
  <si>
    <t xml:space="preserve">One time</t>
  </si>
  <si>
    <t xml:space="preserve">Later changes</t>
  </si>
  <si>
    <t xml:space="preserve">Quoted as a fixed price before I start. Only when you ask.</t>
  </si>
  <si>
    <t xml:space="preserve">As needed</t>
  </si>
  <si>
    <t xml:space="preserve">WHAT IT COSTS YOU IN TOTAL</t>
  </si>
  <si>
    <t xml:space="preserve">Year 1</t>
  </si>
  <si>
    <t xml:space="preserve">The website, plus the domain name.</t>
  </si>
  <si>
    <t xml:space="preserve">Year 2 and after</t>
  </si>
  <si>
    <t xml:space="preserve">Just the domain renewal. Nothing else.</t>
  </si>
  <si>
    <t xml:space="preserve">IF YOU ADD MORE PHOTOS OR VIDEOS LATER</t>
  </si>
  <si>
    <t xml:space="preserve">Question</t>
  </si>
  <si>
    <t xml:space="preserve">Answer</t>
  </si>
  <si>
    <t xml:space="preserve">Extra cost</t>
  </si>
  <si>
    <t xml:space="preserve">More visitors to the site?</t>
  </si>
  <si>
    <t xml:space="preserve">Costs nothing extra. The hosting plan has no limit on visitors or data. Ten people or ten thousand, the price is the same.</t>
  </si>
  <si>
    <t xml:space="preserve">More photos?</t>
  </si>
  <si>
    <t xml:space="preserve">Costs nothing extra. Photos are small. Two hundred photos is still well inside the free plan.</t>
  </si>
  <si>
    <t xml:space="preserve">More 360° photos?</t>
  </si>
  <si>
    <t xml:space="preserve">Costs nothing extra. Each one is about 3 MB.</t>
  </si>
  <si>
    <t xml:space="preserve">A longer video?</t>
  </si>
  <si>
    <t xml:space="preserve">Costs nothing extra to host, but one rule matters: any single file must stay under 25 MB. I compress the video to fit. If it still will not fit, I move it to Cloudflare R2, which is also free.</t>
  </si>
  <si>
    <t xml:space="preserve">A second property later?</t>
  </si>
  <si>
    <t xml:space="preserve">Costs nothing extra to host. It would be a new website, quoted separately.</t>
  </si>
  <si>
    <t xml:space="preserve">15 day plan</t>
  </si>
  <si>
    <t xml:space="preserve">15 working days, about 3 weeks. Day 1 starts only when I have all your files.</t>
  </si>
  <si>
    <t xml:space="preserve">Stage</t>
  </si>
  <si>
    <t xml:space="preserve">What is finished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</si>
  <si>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</si>
  <si>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</si>
  <si>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</si>
  <si>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</si>
  <si>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</si>
  <si>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</si>
  <si>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</si>
  <si>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</si>
  <si>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</si>
  <si>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</si>
  <si>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</si>
  <si>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</si>
  <si>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</si>
  <si>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</si>
  <si>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</si>
  <si>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Kickoff and files</t>
  </si>
  <si>
    <t xml:space="preserve">Menu agreed, all your files received</t>
  </si>
  <si>
    <t xml:space="preserve">Setup and branding</t>
  </si>
  <si>
    <t xml:space="preserve">Your logo, colours and fonts are in</t>
  </si>
  <si>
    <t xml:space="preserve">Camera flies and stops cleanly on a phone</t>
  </si>
  <si>
    <t xml:space="preserve">Bottom bar and side panel working with your items</t>
  </si>
  <si>
    <t xml:space="preserve">Photos and 360°</t>
  </si>
  <si>
    <t xml:space="preserve">Gallery and look-around view working</t>
  </si>
  <si>
    <t xml:space="preserve">Floor plans and map</t>
  </si>
  <si>
    <t xml:space="preserve">Both sections working</t>
  </si>
  <si>
    <t xml:space="preserve">Your real video and photos</t>
  </si>
  <si>
    <t xml:space="preserve">Video shrunk, all time points marked</t>
  </si>
  <si>
    <t xml:space="preserve">Mobile and sharing</t>
  </si>
  <si>
    <t xml:space="preserve">Works on small screens, WhatsApp preview ready</t>
  </si>
  <si>
    <t xml:space="preserve">Tested on a real iPhone and a real Android</t>
  </si>
  <si>
    <t xml:space="preserve">Live on your domain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</si>
</sst>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\₹#,##0;&quot;(₹&quot;#,##0\);\–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1A1A1A"/>
      <name val="Arial"/>
      <family val="0"/>
      <charset val="1"/>
    </font>
    <font>
      <sz val="9"/>
      <color rgb="FF8A8A8A"/>
      <name val="Arial"/>
      <family val="0"/>
      <charset val="1"/>
    </font>
    <font>
      <b val="true"/>
      <sz val="8"/>
      <color rgb="FFB5B5B5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8A8A8A"/>
      <name val="Arial"/>
      <family val="0"/>
      <charset val="1"/>
    </font>
    <font>
      <sz val="10"/>
      <color rgb="FF3D7A4E"/>
      <name val="Arial"/>
      <family val="0"/>
      <charset val="1"/>
    </font>
    <font>
      <sz val="9"/>
      <color rgb="FFB5B5B5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4"/>
      <color rgb="FFA8813C"/>
      <name val="Arial"/>
      <family val="0"/>
      <charset val="1"/>
    </font>
    <font>
      <b val="true"/>
      <sz val="10"/>
      <color rgb="FF3D7A4E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3"/>
      <color rgb="FF1A1A1A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BF8F1"/>
        <bgColor rgb="FFEFEFEF"/>
      </patternFill>
    </fill>
    <fill>
      <patternFill patternType="solid">
        <fgColor rgb="FFF2EDE1"/>
        <bgColor rgb="FFEFEFE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8D8"/>
      </bottom>
      <diagonal/>
    </border>
    <border diagonalUp="false" diagonalDown="false">
      <left/>
      <right/>
      <top/>
      <bottom style="thin">
        <color rgb="FFEFEFEF"/>
      </bottom>
      <diagonal/>
    </border>
    <border diagonalUp="false" diagonalDown="false">
      <left/>
      <right/>
      <top style="thin">
        <color rgb="FF1A1A1A"/>
      </top>
      <bottom style="thin">
        <color rgb="FF1A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8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13C"/>
      <rgbColor rgb="FF800080"/>
      <rgbColor rgb="FF008080"/>
      <rgbColor rgb="FFB5B5B5"/>
      <rgbColor rgb="FF8A8A8A"/>
      <rgbColor rgb="FF9999FF"/>
      <rgbColor rgb="FF993366"/>
      <rgbColor rgb="FFF2EDE1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D7A4E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86"/>
    <col collapsed="false" customWidth="true" hidden="false" outlineLevel="0" max="4" min="4" style="0" width="3"/>
  </cols>
  <sheetData>
    <row r="1" customFormat="false" ht="30" hidden="false" customHeight="true" outlineLevel="0" collapsed="false"/>
    <row r="2" customFormat="false" ht="25.5" hidden="false" customHeight="true" outlineLevel="0" collapsed="false">
      <c r="B2" s="1" t="s">
        <v>0</v>
      </c>
    </row>
    <row r="3" customFormat="false" ht="18" hidden="false" customHeight="true" outlineLevel="0" collapsed="false">
      <c r="B3" s="2" t="s">
        <v>1</v>
      </c>
    </row>
    <row r="4" customFormat="false" ht="6" hidden="false" customHeight="true" outlineLevel="0" collapsed="false">
      <c r="B4" s="3"/>
      <c r="C4" s="3"/>
    </row>
    <row r="5" customFormat="false" ht="15.75" hidden="false" customHeight="true" outlineLevel="0" collapsed="false"/>
    <row r="6" customFormat="false" ht="21.75" hidden="false" customHeight="true" outlineLevel="0" collapsed="false">
      <c r="B6" s="4" t="s">
        <v>2</v>
      </c>
      <c r="C6" s="3"/>
    </row>
    <row r="7" customFormat="false" ht="27.75" hidden="false" customHeight="true" outlineLevel="0" collapsed="false">
      <c r="B7" s="5" t="s">
        <v>3</v>
      </c>
      <c r="C7" s="6" t="s">
        <v>4</v>
      </c>
    </row>
    <row r="8" customFormat="false" ht="15.75" hidden="false" customHeight="true" outlineLevel="0" collapsed="false">
      <c r="B8" s="5" t="s">
        <v>5</v>
      </c>
      <c r="C8" s="6" t="s">
        <v>6</v>
      </c>
    </row>
    <row r="9" customFormat="false" ht="27.75" hidden="false" customHeight="true" outlineLevel="0" collapsed="false">
      <c r="B9" s="5" t="s">
        <v>7</v>
      </c>
      <c r="C9" s="6" t="s">
        <v>8</v>
      </c>
    </row>
    <row r="10" customFormat="false" ht="27.75" hidden="false" customHeight="true" outlineLevel="0" collapsed="false">
      <c r="B10" s="5" t="s">
        <v>9</v>
      </c>
      <c r="C10" s="6" t="s">
        <v>10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48576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C15" activeCellId="0" sqref="C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3"/>
  </cols>
  <sheetData>
    <row r="1" customFormat="false" ht="30" hidden="false" customHeight="true" outlineLevel="0" collapsed="false"/>
    <row r="2" customFormat="false" ht="25.5" hidden="false" customHeight="true" outlineLevel="0" collapsed="false">
      <c r="B2" s="1" t="s">
        <v>11</v>
      </c>
    </row>
    <row r="3" customFormat="false" ht="6" hidden="false" customHeight="true" outlineLevel="0" collapsed="false">
      <c r="B3" s="3"/>
      <c r="C3" s="3"/>
      <c r="D3" s="3"/>
    </row>
    <row r="4" customFormat="false" ht="15.75" hidden="false" customHeight="true" outlineLevel="0" collapsed="false"/>
    <row r="5" customFormat="false" ht="21.75" hidden="false" customHeight="true" outlineLevel="0" collapsed="false">
      <c r="B5" s="7" t="s">
        <v>12</v>
      </c>
      <c r="C5" s="7" t="s">
        <v>13</v>
      </c>
      <c r="D5" s="7" t="s">
        <v>14</v>
      </c>
    </row>
    <row r="6" customFormat="false" ht="33.75" hidden="false" customHeight="true" outlineLevel="0" collapsed="false">
      <c r="B6" s="8" t="s">
        <v>15</v>
      </c>
      <c r="C6" s="6" t="s">
        <v>16</v>
      </c>
      <c r="D6" s="9" t="s">
        <v>17</v>
      </c>
    </row>
    <row r="7" customFormat="false" ht="33.75" hidden="false" customHeight="true" outlineLevel="0" collapsed="false">
      <c r="B7" s="8" t="s">
        <v>18</v>
      </c>
      <c r="C7" s="6" t="s">
        <v>19</v>
      </c>
      <c r="D7" s="9" t="s">
        <v>20</v>
      </c>
    </row>
    <row r="8" customFormat="false" ht="33.75" hidden="false" customHeight="true" outlineLevel="0" collapsed="false">
      <c r="B8" s="8" t="s">
        <v>21</v>
      </c>
      <c r="C8" s="6" t="s">
        <v>22</v>
      </c>
      <c r="D8" s="9" t="s">
        <v>23</v>
      </c>
    </row>
    <row r="9" customFormat="false" ht="33.75" hidden="false" customHeight="true" outlineLevel="0" collapsed="false">
      <c r="B9" s="8" t="s">
        <v>24</v>
      </c>
      <c r="C9" s="6" t="s">
        <v>25</v>
      </c>
      <c r="D9" s="9" t="s">
        <v>26</v>
      </c>
    </row>
    <row r="10" customFormat="false" ht="33.75" hidden="false" customHeight="true" outlineLevel="0" collapsed="false">
      <c r="B10" s="8" t="s">
        <v>27</v>
      </c>
      <c r="C10" s="6" t="s">
        <v>28</v>
      </c>
      <c r="D10" s="9" t="s">
        <v>29</v>
      </c>
    </row>
    <row r="11" customFormat="false" ht="33.75" hidden="false" customHeight="true" outlineLevel="0" collapsed="false">
      <c r="B11" s="8" t="s">
        <v>30</v>
      </c>
      <c r="C11" s="6" t="s">
        <v>31</v>
      </c>
      <c r="D11" s="9" t="s">
        <v>32</v>
      </c>
    </row>
    <row r="12" customFormat="false" ht="33.75" hidden="false" customHeight="true" outlineLevel="0" collapsed="false">
      <c r="B12" s="8" t="s">
        <v>33</v>
      </c>
      <c r="C12" s="6" t="s">
        <v>34</v>
      </c>
      <c r="D12" s="9" t="s">
        <v>35</v>
      </c>
    </row>
    <row r="13" customFormat="false" ht="33.75" hidden="false" customHeight="true" outlineLevel="0" collapsed="false">
      <c r="B13" s="8" t="s">
        <v>36</v>
      </c>
      <c r="C13" s="6" t="s">
        <v>37</v>
      </c>
      <c r="D13" s="9" t="s">
        <v>38</v>
      </c>
    </row>
    <row r="14" customFormat="false" ht="33.75" hidden="false" customHeight="true" outlineLevel="0" collapsed="false">
      <c r="B14" s="8" t="s">
        <v>39</v>
      </c>
      <c r="C14" s="6" t="s">
        <v>40</v>
      </c>
      <c r="D14" s="9" t="s">
        <v>41</v>
      </c>
    </row>
    <row r="15" customFormat="false" ht="33.75" hidden="false" customHeight="true" outlineLevel="0" collapsed="false">
      <c r="B15" s="8" t="s">
        <v>42</v>
      </c>
      <c r="C15" s="6" t="s">
        <v>43</v>
      </c>
      <c r="D15" s="9" t="s">
        <v>44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48576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J18" activeCellId="0" sqref="J1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58"/>
    <col collapsed="false" customWidth="true" hidden="false" outlineLevel="0" max="5" min="5" style="0" width="14"/>
    <col collapsed="false" customWidth="true" hidden="false" outlineLevel="0" max="6" min="6" style="0" width="3"/>
  </cols>
  <sheetData>
    <row r="1" customFormat="false" ht="30" hidden="false" customHeight="true" outlineLevel="0" collapsed="false"/>
    <row r="2" customFormat="false" ht="25.5" hidden="false" customHeight="true" outlineLevel="0" collapsed="false">
      <c r="B2" s="1" t="s">
        <v>45</v>
      </c>
    </row>
    <row r="3" customFormat="false" ht="18" hidden="false" customHeight="true" outlineLevel="0" collapsed="false">
      <c r="B3" s="2" t="s">
        <v>46</v>
      </c>
    </row>
    <row r="4" customFormat="false" ht="6" hidden="false" customHeight="true" outlineLevel="0" collapsed="false">
      <c r="B4" s="3"/>
      <c r="C4" s="3"/>
      <c r="D4" s="3"/>
      <c r="E4" s="3"/>
    </row>
    <row r="5" customFormat="false" ht="15.75" hidden="false" customHeight="true" outlineLevel="0" collapsed="false"/>
    <row r="6" customFormat="false" ht="21.75" hidden="false" customHeight="true" outlineLevel="0" collapsed="false">
      <c r="B6" s="7" t="s">
        <v>47</v>
      </c>
      <c r="C6" s="7" t="s">
        <v>48</v>
      </c>
      <c r="D6" s="7" t="s">
        <v>49</v>
      </c>
      <c r="E6" s="10" t="s">
        <v>50</v>
      </c>
    </row>
    <row r="7" customFormat="false" ht="27.75" hidden="false" customHeight="true" outlineLevel="0" collapsed="false">
      <c r="B7" s="11" t="s">
        <v>51</v>
      </c>
      <c r="C7" s="12" t="s">
        <v>52</v>
      </c>
      <c r="D7" s="13" t="s">
        <v>53</v>
      </c>
      <c r="E7" s="14" t="s">
        <v>54</v>
      </c>
    </row>
    <row r="8" customFormat="false" ht="27.75" hidden="false" customHeight="true" outlineLevel="0" collapsed="false">
      <c r="B8" s="11" t="s">
        <v>55</v>
      </c>
      <c r="C8" s="12" t="s">
        <v>56</v>
      </c>
      <c r="D8" s="13" t="s">
        <v>57</v>
      </c>
      <c r="E8" s="14" t="s">
        <v>54</v>
      </c>
    </row>
    <row r="9" customFormat="false" ht="27.75" hidden="false" customHeight="true" outlineLevel="0" collapsed="false">
      <c r="B9" s="11" t="s">
        <v>58</v>
      </c>
      <c r="C9" s="12" t="s">
        <v>59</v>
      </c>
      <c r="D9" s="13" t="s">
        <v>60</v>
      </c>
      <c r="E9" s="14" t="s">
        <v>54</v>
      </c>
    </row>
    <row r="10" customFormat="false" ht="27.75" hidden="false" customHeight="true" outlineLevel="0" collapsed="false">
      <c r="B10" s="11" t="s">
        <v>61</v>
      </c>
      <c r="C10" s="12" t="s">
        <v>62</v>
      </c>
      <c r="D10" s="13" t="s">
        <v>63</v>
      </c>
      <c r="E10" s="14" t="s">
        <v>54</v>
      </c>
    </row>
    <row r="11" customFormat="false" ht="27.75" hidden="false" customHeight="true" outlineLevel="0" collapsed="false">
      <c r="B11" s="11" t="s">
        <v>64</v>
      </c>
      <c r="C11" s="12" t="s">
        <v>65</v>
      </c>
      <c r="D11" s="13" t="s">
        <v>66</v>
      </c>
      <c r="E11" s="14" t="s">
        <v>54</v>
      </c>
    </row>
    <row r="12" customFormat="false" ht="27.75" hidden="false" customHeight="true" outlineLevel="0" collapsed="false">
      <c r="B12" s="11" t="s">
        <v>67</v>
      </c>
      <c r="C12" s="12" t="s">
        <v>68</v>
      </c>
      <c r="D12" s="13" t="s">
        <v>69</v>
      </c>
      <c r="E12" s="14" t="s">
        <v>54</v>
      </c>
    </row>
    <row r="13" customFormat="false" ht="27.75" hidden="false" customHeight="true" outlineLevel="0" collapsed="false">
      <c r="B13" s="11" t="s">
        <v>70</v>
      </c>
      <c r="C13" s="12" t="s">
        <v>71</v>
      </c>
      <c r="D13" s="13" t="s">
        <v>72</v>
      </c>
      <c r="E13" s="14" t="s">
        <v>54</v>
      </c>
    </row>
    <row r="14" customFormat="false" ht="27.75" hidden="false" customHeight="true" outlineLevel="0" collapsed="false">
      <c r="B14" s="11" t="s">
        <v>73</v>
      </c>
      <c r="C14" s="12" t="s">
        <v>74</v>
      </c>
      <c r="D14" s="13" t="s">
        <v>75</v>
      </c>
      <c r="E14" s="14" t="s">
        <v>54</v>
      </c>
    </row>
    <row r="15" customFormat="false" ht="27.75" hidden="false" customHeight="true" outlineLevel="0" collapsed="false">
      <c r="B15" s="11" t="s">
        <v>76</v>
      </c>
      <c r="C15" s="12" t="s">
        <v>77</v>
      </c>
      <c r="D15" s="13" t="s">
        <v>78</v>
      </c>
      <c r="E15" s="14" t="s">
        <v>54</v>
      </c>
    </row>
    <row r="16" customFormat="false" ht="27.75" hidden="false" customHeight="true" outlineLevel="0" collapsed="false">
      <c r="B16" s="11" t="s">
        <v>79</v>
      </c>
      <c r="C16" s="12" t="s">
        <v>80</v>
      </c>
      <c r="D16" s="13" t="s">
        <v>81</v>
      </c>
      <c r="E16" s="14" t="s">
        <v>54</v>
      </c>
    </row>
    <row r="17" customFormat="false" ht="27.75" hidden="false" customHeight="true" outlineLevel="0" collapsed="false">
      <c r="B17" s="11" t="s">
        <v>82</v>
      </c>
      <c r="C17" s="12" t="s">
        <v>83</v>
      </c>
      <c r="D17" s="13" t="s">
        <v>84</v>
      </c>
      <c r="E17" s="14" t="s">
        <v>54</v>
      </c>
    </row>
    <row r="18" customFormat="false" ht="27.75" hidden="false" customHeight="true" outlineLevel="0" collapsed="false">
      <c r="B18" s="11" t="s">
        <v>85</v>
      </c>
      <c r="C18" s="12" t="s">
        <v>86</v>
      </c>
      <c r="D18" s="13" t="s">
        <v>87</v>
      </c>
      <c r="E18" s="14" t="s">
        <v>54</v>
      </c>
    </row>
    <row r="19" customFormat="false" ht="27.75" hidden="false" customHeight="true" outlineLevel="0" collapsed="false">
      <c r="B19" s="11" t="s">
        <v>88</v>
      </c>
      <c r="C19" s="12" t="s">
        <v>89</v>
      </c>
      <c r="D19" s="13" t="s">
        <v>90</v>
      </c>
      <c r="E19" s="14" t="s">
        <v>54</v>
      </c>
    </row>
    <row r="21" customFormat="false" ht="15" hidden="false" customHeight="true" outlineLevel="0" collapsed="false">
      <c r="B21" s="15" t="s">
        <v>91</v>
      </c>
      <c r="C21" s="15"/>
      <c r="D21" s="15"/>
      <c r="E21" s="15"/>
    </row>
    <row r="1048576" customFormat="false" ht="12.8" hidden="false" customHeight="false" outlineLevel="0" collapsed="false"/>
  </sheetData>
  <mergeCells count="1"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32"/>
    <col collapsed="false" customWidth="true" hidden="false" outlineLevel="0" max="4" min="4" style="0" width="62"/>
    <col collapsed="false" customWidth="true" hidden="false" outlineLevel="0" max="5" min="5" style="0" width="9"/>
    <col collapsed="false" customWidth="true" hidden="false" outlineLevel="0" max="6" min="6" style="0" width="3"/>
  </cols>
  <sheetData>
    <row r="1" customFormat="false" ht="30" hidden="false" customHeight="true" outlineLevel="0" collapsed="false"/>
    <row r="2" customFormat="false" ht="25.5" hidden="false" customHeight="true" outlineLevel="0" collapsed="false">
      <c r="B2" s="1" t="s">
        <v>92</v>
      </c>
    </row>
    <row r="3" customFormat="false" ht="18" hidden="false" customHeight="true" outlineLevel="0" collapsed="false">
      <c r="B3" s="2" t="s">
        <v>93</v>
      </c>
    </row>
    <row r="4" customFormat="false" ht="6" hidden="false" customHeight="true" outlineLevel="0" collapsed="false">
      <c r="B4" s="3"/>
      <c r="C4" s="3"/>
      <c r="D4" s="3"/>
      <c r="E4" s="3"/>
    </row>
    <row r="5" customFormat="false" ht="15.75" hidden="false" customHeight="true" outlineLevel="0" collapsed="false"/>
    <row r="6" customFormat="false" ht="21.75" hidden="false" customHeight="true" outlineLevel="0" collapsed="false">
      <c r="B6" s="7"/>
      <c r="C6" s="7" t="s">
        <v>94</v>
      </c>
      <c r="D6" s="7" t="s">
        <v>95</v>
      </c>
      <c r="E6" s="10" t="s">
        <v>96</v>
      </c>
    </row>
    <row r="7" customFormat="false" ht="27.75" hidden="false" customHeight="true" outlineLevel="0" collapsed="false">
      <c r="B7" s="16" t="n">
        <v>1</v>
      </c>
      <c r="C7" s="8" t="s">
        <v>97</v>
      </c>
      <c r="D7" s="9" t="s">
        <v>98</v>
      </c>
      <c r="E7" s="17" t="n">
        <v>1</v>
      </c>
    </row>
    <row r="8" customFormat="false" ht="27.75" hidden="false" customHeight="true" outlineLevel="0" collapsed="false">
      <c r="B8" s="16" t="n">
        <v>2</v>
      </c>
      <c r="C8" s="8" t="s">
        <v>99</v>
      </c>
      <c r="D8" s="9" t="s">
        <v>100</v>
      </c>
      <c r="E8" s="17" t="n">
        <v>1</v>
      </c>
    </row>
    <row r="9" customFormat="false" ht="27.75" hidden="false" customHeight="true" outlineLevel="0" collapsed="false">
      <c r="B9" s="16" t="n">
        <v>3</v>
      </c>
      <c r="C9" s="8" t="s">
        <v>101</v>
      </c>
      <c r="D9" s="9" t="s">
        <v>102</v>
      </c>
      <c r="E9" s="17" t="n">
        <v>2.5</v>
      </c>
    </row>
    <row r="10" customFormat="false" ht="27.75" hidden="false" customHeight="true" outlineLevel="0" collapsed="false">
      <c r="B10" s="16" t="n">
        <v>4</v>
      </c>
      <c r="C10" s="8" t="s">
        <v>103</v>
      </c>
      <c r="D10" s="9" t="s">
        <v>104</v>
      </c>
      <c r="E10" s="17" t="n">
        <v>1</v>
      </c>
    </row>
    <row r="11" customFormat="false" ht="27.75" hidden="false" customHeight="true" outlineLevel="0" collapsed="false">
      <c r="B11" s="16" t="n">
        <v>5</v>
      </c>
      <c r="C11" s="8" t="s">
        <v>105</v>
      </c>
      <c r="D11" s="9" t="s">
        <v>106</v>
      </c>
      <c r="E11" s="17" t="n">
        <v>1</v>
      </c>
    </row>
    <row r="12" customFormat="false" ht="27.75" hidden="false" customHeight="true" outlineLevel="0" collapsed="false">
      <c r="B12" s="16" t="n">
        <v>6</v>
      </c>
      <c r="C12" s="8" t="s">
        <v>107</v>
      </c>
      <c r="D12" s="9" t="s">
        <v>108</v>
      </c>
      <c r="E12" s="17" t="n">
        <v>1</v>
      </c>
    </row>
    <row r="13" customFormat="false" ht="27.75" hidden="false" customHeight="true" outlineLevel="0" collapsed="false">
      <c r="B13" s="16" t="n">
        <v>7</v>
      </c>
      <c r="C13" s="8" t="s">
        <v>70</v>
      </c>
      <c r="D13" s="9" t="s">
        <v>109</v>
      </c>
      <c r="E13" s="17" t="n">
        <v>1</v>
      </c>
    </row>
    <row r="14" customFormat="false" ht="27.75" hidden="false" customHeight="true" outlineLevel="0" collapsed="false">
      <c r="B14" s="16" t="n">
        <v>8</v>
      </c>
      <c r="C14" s="8" t="s">
        <v>110</v>
      </c>
      <c r="D14" s="9" t="s">
        <v>111</v>
      </c>
      <c r="E14" s="17" t="n">
        <v>1</v>
      </c>
    </row>
    <row r="15" customFormat="false" ht="27.75" hidden="false" customHeight="true" outlineLevel="0" collapsed="false">
      <c r="B15" s="16" t="n">
        <v>9</v>
      </c>
      <c r="C15" s="8" t="s">
        <v>112</v>
      </c>
      <c r="D15" s="9" t="s">
        <v>113</v>
      </c>
      <c r="E15" s="17" t="n">
        <v>1</v>
      </c>
    </row>
    <row r="16" customFormat="false" ht="27.75" hidden="false" customHeight="true" outlineLevel="0" collapsed="false">
      <c r="B16" s="16" t="n">
        <v>10</v>
      </c>
      <c r="C16" s="8" t="s">
        <v>114</v>
      </c>
      <c r="D16" s="9" t="s">
        <v>115</v>
      </c>
      <c r="E16" s="17" t="n">
        <v>1</v>
      </c>
    </row>
    <row r="17" customFormat="false" ht="27.75" hidden="false" customHeight="true" outlineLevel="0" collapsed="false">
      <c r="B17" s="16" t="n">
        <v>11</v>
      </c>
      <c r="C17" s="8" t="s">
        <v>116</v>
      </c>
      <c r="D17" s="9" t="s">
        <v>117</v>
      </c>
      <c r="E17" s="17" t="n">
        <v>0.5</v>
      </c>
    </row>
    <row r="18" customFormat="false" ht="27.75" hidden="false" customHeight="true" outlineLevel="0" collapsed="false">
      <c r="B18" s="16" t="n">
        <v>12</v>
      </c>
      <c r="C18" s="8" t="s">
        <v>118</v>
      </c>
      <c r="D18" s="9" t="s">
        <v>119</v>
      </c>
      <c r="E18" s="17" t="n">
        <v>1</v>
      </c>
    </row>
    <row r="19" customFormat="false" ht="27.75" hidden="false" customHeight="true" outlineLevel="0" collapsed="false">
      <c r="B19" s="16" t="n">
        <v>13</v>
      </c>
      <c r="C19" s="8" t="s">
        <v>120</v>
      </c>
      <c r="D19" s="9" t="s">
        <v>121</v>
      </c>
      <c r="E19" s="17" t="n">
        <v>0.5</v>
      </c>
    </row>
    <row r="20" customFormat="false" ht="25.5" hidden="false" customHeight="true" outlineLevel="0" collapsed="false">
      <c r="B20" s="18"/>
      <c r="C20" s="19" t="s">
        <v>122</v>
      </c>
      <c r="D20" s="18"/>
      <c r="E20" s="20" t="n">
        <f aca="false">SUM(E7:E19)</f>
        <v>13.5</v>
      </c>
    </row>
    <row r="22" customFormat="false" ht="21.75" hidden="false" customHeight="true" outlineLevel="0" collapsed="false">
      <c r="B22" s="4" t="s">
        <v>123</v>
      </c>
      <c r="C22" s="3"/>
      <c r="D22" s="3"/>
      <c r="E22" s="3"/>
    </row>
    <row r="23" customFormat="false" ht="21.75" hidden="false" customHeight="true" outlineLevel="0" collapsed="false">
      <c r="B23" s="7" t="s">
        <v>124</v>
      </c>
      <c r="C23" s="7"/>
      <c r="D23" s="7" t="s">
        <v>125</v>
      </c>
      <c r="E23" s="10" t="s">
        <v>96</v>
      </c>
    </row>
    <row r="24" customFormat="false" ht="24" hidden="false" customHeight="true" outlineLevel="0" collapsed="false">
      <c r="B24" s="21" t="s">
        <v>126</v>
      </c>
      <c r="C24" s="22"/>
      <c r="D24" s="13" t="s">
        <v>127</v>
      </c>
      <c r="E24" s="23" t="n">
        <v>2</v>
      </c>
    </row>
    <row r="25" customFormat="false" ht="24" hidden="false" customHeight="true" outlineLevel="0" collapsed="false">
      <c r="B25" s="21" t="s">
        <v>128</v>
      </c>
      <c r="C25" s="22"/>
      <c r="D25" s="13" t="s">
        <v>129</v>
      </c>
      <c r="E25" s="23" t="n">
        <v>2</v>
      </c>
    </row>
    <row r="26" customFormat="false" ht="24" hidden="false" customHeight="true" outlineLevel="0" collapsed="false">
      <c r="B26" s="21" t="s">
        <v>130</v>
      </c>
      <c r="C26" s="22"/>
      <c r="D26" s="13" t="s">
        <v>131</v>
      </c>
      <c r="E26" s="23" t="n">
        <v>1.5</v>
      </c>
    </row>
    <row r="27" customFormat="false" ht="24" hidden="false" customHeight="true" outlineLevel="0" collapsed="false">
      <c r="B27" s="21" t="s">
        <v>132</v>
      </c>
      <c r="C27" s="22"/>
      <c r="D27" s="13" t="s">
        <v>133</v>
      </c>
      <c r="E27" s="23" t="n">
        <v>3</v>
      </c>
    </row>
    <row r="28" customFormat="false" ht="24" hidden="false" customHeight="true" outlineLevel="0" collapsed="false">
      <c r="B28" s="21" t="s">
        <v>134</v>
      </c>
      <c r="C28" s="22"/>
      <c r="D28" s="13" t="s">
        <v>135</v>
      </c>
      <c r="E28" s="23" t="n">
        <v>2</v>
      </c>
    </row>
    <row r="29" customFormat="false" ht="24" hidden="false" customHeight="true" outlineLevel="0" collapsed="false">
      <c r="B29" s="21" t="s">
        <v>136</v>
      </c>
      <c r="C29" s="22"/>
      <c r="D29" s="13" t="s">
        <v>137</v>
      </c>
      <c r="E29" s="23" t="n">
        <v>0.5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48576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B3" activeCellId="0" sqref="B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3"/>
  </cols>
  <sheetData>
    <row r="1" customFormat="false" ht="30" hidden="false" customHeight="true" outlineLevel="0" collapsed="false"/>
    <row r="2" customFormat="false" ht="25.5" hidden="false" customHeight="true" outlineLevel="0" collapsed="false">
      <c r="B2" s="1" t="s">
        <v>138</v>
      </c>
    </row>
    <row r="3" customFormat="false" ht="18" hidden="false" customHeight="true" outlineLevel="0" collapsed="false">
      <c r="B3" s="2" t="s">
        <v>139</v>
      </c>
    </row>
    <row r="4" customFormat="false" ht="6" hidden="false" customHeight="true" outlineLevel="0" collapsed="false">
      <c r="B4" s="3"/>
      <c r="C4" s="3"/>
      <c r="D4" s="3"/>
    </row>
    <row r="5" customFormat="false" ht="15.75" hidden="false" customHeight="true" outlineLevel="0" collapsed="false"/>
    <row r="7" customFormat="false" ht="21.75" hidden="false" customHeight="true" outlineLevel="0" collapsed="false">
      <c r="B7" s="4" t="s">
        <v>140</v>
      </c>
      <c r="C7" s="3"/>
      <c r="D7" s="3"/>
    </row>
    <row r="8" customFormat="false" ht="21.75" hidden="false" customHeight="true" outlineLevel="0" collapsed="false">
      <c r="B8" s="7" t="s">
        <v>141</v>
      </c>
      <c r="C8" s="10" t="s">
        <v>142</v>
      </c>
      <c r="D8" s="7" t="s">
        <v>143</v>
      </c>
    </row>
    <row r="9" customFormat="false" ht="19.5" hidden="false" customHeight="true" outlineLevel="0" collapsed="false">
      <c r="B9" s="24" t="s">
        <v>144</v>
      </c>
      <c r="C9" s="25" t="n">
        <f aca="false">'4. Work'!E20</f>
        <v>13.5</v>
      </c>
      <c r="D9" s="26" t="s">
        <v>145</v>
      </c>
    </row>
    <row r="10" customFormat="false" ht="33.75" hidden="false" customHeight="true" outlineLevel="0" collapsed="false">
      <c r="B10" s="27" t="s">
        <v>146</v>
      </c>
      <c r="C10" s="28" t="n">
        <v>25000</v>
      </c>
      <c r="D10" s="29" t="s">
        <v>147</v>
      </c>
    </row>
    <row r="11" customFormat="false" ht="15" hidden="false" customHeight="false" outlineLevel="0" collapsed="false">
      <c r="B11" s="30"/>
      <c r="C11" s="30"/>
      <c r="D11" s="30"/>
    </row>
    <row r="12" customFormat="false" ht="21.75" hidden="false" customHeight="true" outlineLevel="0" collapsed="false">
      <c r="B12" s="31" t="s">
        <v>148</v>
      </c>
      <c r="C12" s="32"/>
      <c r="D12" s="32"/>
    </row>
    <row r="13" customFormat="false" ht="21.75" hidden="false" customHeight="true" outlineLevel="0" collapsed="false">
      <c r="B13" s="33" t="s">
        <v>149</v>
      </c>
      <c r="C13" s="33" t="s">
        <v>142</v>
      </c>
      <c r="D13" s="33" t="s">
        <v>150</v>
      </c>
    </row>
    <row r="14" customFormat="false" ht="24" hidden="false" customHeight="true" outlineLevel="0" collapsed="false">
      <c r="B14" s="34" t="s">
        <v>151</v>
      </c>
      <c r="C14" s="35" t="n">
        <f aca="false">$C$10*0.3</f>
        <v>7500</v>
      </c>
      <c r="D14" s="36" t="s">
        <v>152</v>
      </c>
    </row>
    <row r="15" customFormat="false" ht="24" hidden="false" customHeight="true" outlineLevel="0" collapsed="false">
      <c r="B15" s="34" t="s">
        <v>153</v>
      </c>
      <c r="C15" s="35" t="n">
        <f aca="false">$C$10*0.7</f>
        <v>17500</v>
      </c>
      <c r="D15" s="36" t="s">
        <v>154</v>
      </c>
    </row>
    <row r="16" customFormat="false" ht="15" hidden="false" customHeight="false" outlineLevel="0" collapsed="false">
      <c r="B16" s="37" t="s">
        <v>122</v>
      </c>
      <c r="C16" s="38" t="n">
        <f aca="false">SUM(C14:C15)</f>
        <v>25000</v>
      </c>
      <c r="D16" s="39"/>
    </row>
    <row r="17" customFormat="false" ht="21.75" hidden="false" customHeight="true" outlineLevel="0" collapsed="false">
      <c r="B17" s="40" t="s">
        <v>155</v>
      </c>
      <c r="C17" s="40"/>
      <c r="D17" s="40"/>
    </row>
    <row r="18" customFormat="false" ht="15" hidden="false" customHeight="false" outlineLevel="0" collapsed="false">
      <c r="B18" s="30"/>
      <c r="C18" s="30"/>
      <c r="D18" s="30"/>
    </row>
    <row r="19" customFormat="false" ht="21.75" hidden="false" customHeight="true" outlineLevel="0" collapsed="false">
      <c r="B19" s="31" t="s">
        <v>156</v>
      </c>
      <c r="C19" s="32"/>
      <c r="D19" s="32"/>
    </row>
    <row r="20" customFormat="false" ht="21.75" hidden="false" customHeight="true" outlineLevel="0" collapsed="false">
      <c r="B20" s="33" t="s">
        <v>157</v>
      </c>
      <c r="C20" s="33" t="s">
        <v>138</v>
      </c>
      <c r="D20" s="33" t="s">
        <v>49</v>
      </c>
    </row>
    <row r="21" customFormat="false" ht="21.75" hidden="false" customHeight="true" outlineLevel="0" collapsed="false">
      <c r="B21" s="34" t="s">
        <v>158</v>
      </c>
      <c r="C21" s="41" t="n">
        <v>500</v>
      </c>
      <c r="D21" s="36" t="s">
        <v>159</v>
      </c>
    </row>
    <row r="22" customFormat="false" ht="21.75" hidden="false" customHeight="true" outlineLevel="0" collapsed="false">
      <c r="B22" s="34" t="s">
        <v>160</v>
      </c>
      <c r="C22" s="41" t="n">
        <v>1000</v>
      </c>
      <c r="D22" s="36" t="s">
        <v>161</v>
      </c>
    </row>
    <row r="23" customFormat="false" ht="21.75" hidden="false" customHeight="true" outlineLevel="0" collapsed="false">
      <c r="B23" s="34" t="s">
        <v>162</v>
      </c>
      <c r="C23" s="41" t="n">
        <v>500</v>
      </c>
      <c r="D23" s="36" t="s">
        <v>163</v>
      </c>
    </row>
    <row r="24" customFormat="false" ht="21.75" hidden="false" customHeight="true" outlineLevel="0" collapsed="false">
      <c r="B24" s="34" t="s">
        <v>164</v>
      </c>
      <c r="C24" s="41" t="n">
        <v>1000</v>
      </c>
      <c r="D24" s="36" t="s">
        <v>165</v>
      </c>
    </row>
    <row r="25" customFormat="false" ht="21.75" hidden="false" customHeight="true" outlineLevel="0" collapsed="false">
      <c r="B25" s="34" t="s">
        <v>166</v>
      </c>
      <c r="C25" s="41" t="n">
        <v>2000</v>
      </c>
      <c r="D25" s="36" t="s">
        <v>167</v>
      </c>
    </row>
    <row r="26" customFormat="false" ht="21.75" hidden="false" customHeight="true" outlineLevel="0" collapsed="false">
      <c r="B26" s="34" t="s">
        <v>168</v>
      </c>
      <c r="C26" s="41" t="n">
        <v>2000</v>
      </c>
      <c r="D26" s="36" t="s">
        <v>169</v>
      </c>
    </row>
    <row r="27" customFormat="false" ht="15" hidden="false" customHeight="false" outlineLevel="0" collapsed="false">
      <c r="B27" s="42"/>
      <c r="C27" s="42"/>
      <c r="D27" s="42"/>
    </row>
    <row r="28" customFormat="false" ht="15" hidden="false" customHeight="true" outlineLevel="0" collapsed="false">
      <c r="B28" s="40" t="s">
        <v>170</v>
      </c>
      <c r="C28" s="40"/>
      <c r="D28" s="40"/>
    </row>
    <row r="29" customFormat="false" ht="15" hidden="false" customHeight="false" outlineLevel="0" collapsed="false">
      <c r="B29" s="40"/>
      <c r="C29" s="40"/>
      <c r="D29" s="40"/>
    </row>
    <row r="30" customFormat="false" ht="15" hidden="false" customHeight="false" outlineLevel="0" collapsed="false">
      <c r="B30" s="42"/>
      <c r="C30" s="42"/>
      <c r="D30" s="42"/>
    </row>
    <row r="31" customFormat="false" ht="21.75" hidden="false" customHeight="true" outlineLevel="0" collapsed="false">
      <c r="B31" s="43" t="s">
        <v>171</v>
      </c>
      <c r="C31" s="44"/>
      <c r="D31" s="44"/>
    </row>
    <row r="32" customFormat="false" ht="33.75" hidden="false" customHeight="true" outlineLevel="0" collapsed="false">
      <c r="B32" s="40" t="s">
        <v>172</v>
      </c>
      <c r="C32" s="40"/>
      <c r="D32" s="40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B17:D17"/>
    <mergeCell ref="B28:D29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"/>
  </cols>
  <sheetData>
    <row r="1" customFormat="false" ht="30" hidden="false" customHeight="true" outlineLevel="0" collapsed="false"/>
    <row r="2" customFormat="false" ht="25.5" hidden="false" customHeight="true" outlineLevel="0" collapsed="false">
      <c r="B2" s="1" t="s">
        <v>173</v>
      </c>
    </row>
    <row r="3" customFormat="false" ht="18" hidden="false" customHeight="true" outlineLevel="0" collapsed="false">
      <c r="B3" s="2" t="s">
        <v>174</v>
      </c>
    </row>
    <row r="4" customFormat="false" ht="6" hidden="false" customHeight="true" outlineLevel="0" collapsed="false">
      <c r="B4" s="3"/>
      <c r="C4" s="3"/>
      <c r="D4" s="3"/>
      <c r="E4" s="3"/>
    </row>
    <row r="5" customFormat="false" ht="15.75" hidden="false" customHeight="true" outlineLevel="0" collapsed="false"/>
    <row r="6" customFormat="false" ht="21.75" hidden="false" customHeight="true" outlineLevel="0" collapsed="false">
      <c r="B6" s="7" t="s">
        <v>141</v>
      </c>
      <c r="C6" s="7" t="s">
        <v>175</v>
      </c>
      <c r="D6" s="10" t="s">
        <v>176</v>
      </c>
      <c r="E6" s="10" t="s">
        <v>177</v>
      </c>
    </row>
    <row r="7" customFormat="false" ht="21.75" hidden="false" customHeight="true" outlineLevel="0" collapsed="false">
      <c r="B7" s="4" t="s">
        <v>178</v>
      </c>
      <c r="C7" s="3"/>
      <c r="D7" s="3"/>
      <c r="E7" s="3"/>
    </row>
    <row r="8" customFormat="false" ht="21.75" hidden="false" customHeight="true" outlineLevel="0" collapsed="false">
      <c r="B8" s="21" t="s">
        <v>179</v>
      </c>
      <c r="C8" s="45" t="s">
        <v>180</v>
      </c>
      <c r="D8" s="46" t="s">
        <v>181</v>
      </c>
      <c r="E8" s="47" t="s">
        <v>182</v>
      </c>
    </row>
    <row r="9" customFormat="false" ht="21.75" hidden="false" customHeight="true" outlineLevel="0" collapsed="false">
      <c r="B9" s="21" t="s">
        <v>85</v>
      </c>
      <c r="C9" s="45" t="s">
        <v>183</v>
      </c>
      <c r="D9" s="46" t="s">
        <v>181</v>
      </c>
      <c r="E9" s="48" t="n">
        <v>0</v>
      </c>
    </row>
    <row r="10" customFormat="false" ht="21.75" hidden="false" customHeight="true" outlineLevel="0" collapsed="false">
      <c r="B10" s="21" t="s">
        <v>184</v>
      </c>
      <c r="C10" s="45" t="s">
        <v>185</v>
      </c>
      <c r="D10" s="46" t="s">
        <v>181</v>
      </c>
      <c r="E10" s="48" t="n">
        <v>0</v>
      </c>
    </row>
    <row r="11" customFormat="false" ht="21.75" hidden="false" customHeight="true" outlineLevel="0" collapsed="false">
      <c r="B11" s="21" t="s">
        <v>186</v>
      </c>
      <c r="C11" s="45" t="s">
        <v>187</v>
      </c>
      <c r="D11" s="46" t="s">
        <v>181</v>
      </c>
      <c r="E11" s="48" t="n">
        <v>0</v>
      </c>
    </row>
    <row r="12" customFormat="false" ht="21.75" hidden="false" customHeight="true" outlineLevel="0" collapsed="false">
      <c r="B12" s="21" t="s">
        <v>188</v>
      </c>
      <c r="C12" s="45" t="s">
        <v>189</v>
      </c>
      <c r="D12" s="46" t="s">
        <v>181</v>
      </c>
      <c r="E12" s="48" t="n">
        <v>0</v>
      </c>
    </row>
    <row r="13" customFormat="false" ht="30" hidden="false" customHeight="true" outlineLevel="0" collapsed="false">
      <c r="B13" s="49" t="s">
        <v>190</v>
      </c>
      <c r="C13" s="18"/>
      <c r="D13" s="18"/>
      <c r="E13" s="50" t="n">
        <f aca="false">SUM(E8:E12)</f>
        <v>0</v>
      </c>
    </row>
    <row r="16" customFormat="false" ht="21.75" hidden="false" customHeight="true" outlineLevel="0" collapsed="false">
      <c r="B16" s="4" t="s">
        <v>191</v>
      </c>
      <c r="C16" s="3"/>
      <c r="D16" s="3"/>
      <c r="E16" s="3"/>
    </row>
    <row r="17" customFormat="false" ht="21.75" hidden="false" customHeight="true" outlineLevel="0" collapsed="false">
      <c r="B17" s="45" t="s">
        <v>192</v>
      </c>
      <c r="C17" s="45" t="s">
        <v>193</v>
      </c>
      <c r="D17" s="46" t="s">
        <v>181</v>
      </c>
      <c r="E17" s="51" t="n">
        <v>0</v>
      </c>
    </row>
    <row r="18" customFormat="false" ht="21.75" hidden="false" customHeight="true" outlineLevel="0" collapsed="false">
      <c r="B18" s="45" t="s">
        <v>194</v>
      </c>
      <c r="C18" s="45" t="s">
        <v>195</v>
      </c>
      <c r="D18" s="46" t="s">
        <v>181</v>
      </c>
      <c r="E18" s="51" t="n">
        <v>0</v>
      </c>
    </row>
    <row r="20" customFormat="false" ht="21.75" hidden="false" customHeight="true" outlineLevel="0" collapsed="false">
      <c r="B20" s="4" t="s">
        <v>196</v>
      </c>
      <c r="C20" s="3"/>
      <c r="D20" s="3"/>
      <c r="E20" s="3"/>
    </row>
    <row r="21" customFormat="false" ht="21.75" hidden="false" customHeight="true" outlineLevel="0" collapsed="false">
      <c r="B21" s="21" t="s">
        <v>197</v>
      </c>
      <c r="C21" s="45" t="s">
        <v>198</v>
      </c>
      <c r="D21" s="46" t="s">
        <v>199</v>
      </c>
      <c r="E21" s="52" t="n">
        <v>0</v>
      </c>
    </row>
    <row r="22" customFormat="false" ht="21.75" hidden="false" customHeight="true" outlineLevel="0" collapsed="false">
      <c r="B22" s="21" t="s">
        <v>200</v>
      </c>
      <c r="C22" s="45" t="s">
        <v>201</v>
      </c>
      <c r="D22" s="46" t="s">
        <v>202</v>
      </c>
      <c r="E22" s="52" t="n">
        <v>0</v>
      </c>
    </row>
    <row r="24" customFormat="false" ht="21.75" hidden="false" customHeight="true" outlineLevel="0" collapsed="false">
      <c r="B24" s="4" t="s">
        <v>203</v>
      </c>
      <c r="C24" s="3"/>
      <c r="D24" s="3"/>
      <c r="E24" s="3"/>
    </row>
    <row r="25" customFormat="false" ht="27.75" hidden="false" customHeight="true" outlineLevel="0" collapsed="false">
      <c r="B25" s="19" t="s">
        <v>204</v>
      </c>
      <c r="C25" s="53" t="s">
        <v>205</v>
      </c>
      <c r="D25" s="53"/>
      <c r="E25" s="54" t="n">
        <f aca="false">'5. Price'!C10+E13</f>
        <v>25000</v>
      </c>
    </row>
    <row r="26" customFormat="false" ht="27.75" hidden="false" customHeight="true" outlineLevel="0" collapsed="false">
      <c r="B26" s="19" t="s">
        <v>206</v>
      </c>
      <c r="C26" s="53" t="s">
        <v>207</v>
      </c>
      <c r="D26" s="53"/>
      <c r="E26" s="54" t="n">
        <f aca="false">E13</f>
        <v>0</v>
      </c>
    </row>
    <row r="29" customFormat="false" ht="15" hidden="false" customHeight="false" outlineLevel="0" collapsed="false">
      <c r="B29" s="4" t="s">
        <v>208</v>
      </c>
      <c r="C29" s="3"/>
      <c r="D29" s="3"/>
      <c r="E29" s="3"/>
    </row>
    <row r="30" customFormat="false" ht="15" hidden="false" customHeight="false" outlineLevel="0" collapsed="false">
      <c r="B30" s="7" t="s">
        <v>209</v>
      </c>
      <c r="C30" s="7" t="s">
        <v>210</v>
      </c>
      <c r="D30" s="7"/>
      <c r="E30" s="10" t="s">
        <v>211</v>
      </c>
    </row>
    <row r="31" customFormat="false" ht="21.75" hidden="false" customHeight="true" outlineLevel="0" collapsed="false">
      <c r="B31" s="21" t="s">
        <v>212</v>
      </c>
      <c r="C31" s="13" t="s">
        <v>213</v>
      </c>
      <c r="D31" s="13"/>
      <c r="E31" s="55" t="n">
        <v>0</v>
      </c>
    </row>
    <row r="32" customFormat="false" ht="21.75" hidden="false" customHeight="true" outlineLevel="0" collapsed="false">
      <c r="B32" s="21" t="s">
        <v>214</v>
      </c>
      <c r="C32" s="13" t="s">
        <v>215</v>
      </c>
      <c r="D32" s="13"/>
      <c r="E32" s="55" t="n">
        <v>0</v>
      </c>
    </row>
    <row r="33" customFormat="false" ht="27" hidden="false" customHeight="true" outlineLevel="0" collapsed="false">
      <c r="B33" s="21" t="s">
        <v>216</v>
      </c>
      <c r="C33" s="13" t="s">
        <v>217</v>
      </c>
      <c r="D33" s="13"/>
      <c r="E33" s="55" t="n">
        <v>0</v>
      </c>
    </row>
    <row r="34" customFormat="false" ht="35.5" hidden="false" customHeight="true" outlineLevel="0" collapsed="false">
      <c r="B34" s="21" t="s">
        <v>218</v>
      </c>
      <c r="C34" s="13" t="s">
        <v>219</v>
      </c>
      <c r="D34" s="13"/>
      <c r="E34" s="55" t="n">
        <v>0</v>
      </c>
    </row>
    <row r="35" customFormat="false" ht="24.05" hidden="false" customHeight="true" outlineLevel="0" collapsed="false">
      <c r="B35" s="21" t="s">
        <v>220</v>
      </c>
      <c r="C35" s="13" t="s">
        <v>221</v>
      </c>
      <c r="D35" s="13"/>
      <c r="E35" s="55" t="n">
        <v>0</v>
      </c>
    </row>
    <row r="36" customFormat="false" ht="51" hidden="false" customHeight="true" outlineLevel="0" collapsed="false"/>
    <row r="37" customFormat="false" ht="27" hidden="false" customHeight="tru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C25:D25"/>
    <mergeCell ref="C26:D26"/>
    <mergeCell ref="C31:D31"/>
    <mergeCell ref="C32:D32"/>
    <mergeCell ref="C33:D33"/>
    <mergeCell ref="C34:D34"/>
    <mergeCell ref="C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18" min="4" style="0" width="4.2"/>
    <col collapsed="false" customWidth="true" hidden="false" outlineLevel="0" max="19" min="19" style="0" width="3"/>
  </cols>
  <sheetData>
    <row r="1" customFormat="false" ht="30" hidden="false" customHeight="true" outlineLevel="0" collapsed="false"/>
    <row r="2" customFormat="false" ht="25.5" hidden="false" customHeight="true" outlineLevel="0" collapsed="false">
      <c r="B2" s="1" t="s">
        <v>222</v>
      </c>
    </row>
    <row r="3" customFormat="false" ht="18" hidden="false" customHeight="true" outlineLevel="0" collapsed="false">
      <c r="B3" s="2" t="s">
        <v>223</v>
      </c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.75" hidden="false" customHeight="true" outlineLevel="0" collapsed="false"/>
    <row r="6" customFormat="false" ht="21.75" hidden="false" customHeight="true" outlineLevel="0" collapsed="false">
      <c r="B6" s="7" t="s">
        <v>224</v>
      </c>
      <c r="C6" s="7" t="s">
        <v>225</v>
      </c>
      <c r="D6" s="56" t="s">
        <v>226</v>
      </c>
      <c r="E6" s="56" t="s">
        <v>227</v>
      </c>
      <c r="F6" s="56" t="s">
        <v>228</v>
      </c>
      <c r="G6" s="56" t="s">
        <v>229</v>
      </c>
      <c r="H6" s="56" t="s">
        <v>230</v>
      </c>
      <c r="I6" s="56" t="s">
        <v>231</v>
      </c>
      <c r="J6" s="56" t="s">
        <v>232</v>
      </c>
      <c r="K6" s="56" t="s">
        <v>233</v>
      </c>
      <c r="L6" s="56" t="s">
        <v>234</v>
      </c>
      <c r="M6" s="56" t="s">
        <v>235</v>
      </c>
      <c r="N6" s="56" t="s">
        <v>236</v>
      </c>
      <c r="O6" s="56" t="s">
        <v>237</v>
      </c>
      <c r="P6" s="56" t="s">
        <v>238</v>
      </c>
      <c r="Q6" s="56" t="s">
        <v>239</v>
      </c>
      <c r="R6" s="56" t="s">
        <v>240</v>
      </c>
    </row>
    <row r="7" customFormat="false" ht="21.75" hidden="false" customHeight="true" outlineLevel="0" collapsed="false">
      <c r="B7" s="11" t="s">
        <v>241</v>
      </c>
      <c r="C7" s="57" t="s">
        <v>242</v>
      </c>
      <c r="D7" s="58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customFormat="false" ht="21.75" hidden="false" customHeight="true" outlineLevel="0" collapsed="false">
      <c r="B8" s="11" t="s">
        <v>243</v>
      </c>
      <c r="C8" s="57" t="s">
        <v>244</v>
      </c>
      <c r="D8" s="22"/>
      <c r="E8" s="58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customFormat="false" ht="21.75" hidden="false" customHeight="true" outlineLevel="0" collapsed="false">
      <c r="B9" s="11" t="s">
        <v>101</v>
      </c>
      <c r="C9" s="57" t="s">
        <v>245</v>
      </c>
      <c r="D9" s="22"/>
      <c r="E9" s="22"/>
      <c r="F9" s="58"/>
      <c r="G9" s="58"/>
      <c r="H9" s="58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customFormat="false" ht="21.75" hidden="false" customHeight="true" outlineLevel="0" collapsed="false">
      <c r="B10" s="11" t="s">
        <v>103</v>
      </c>
      <c r="C10" s="57" t="s">
        <v>246</v>
      </c>
      <c r="D10" s="22"/>
      <c r="E10" s="22"/>
      <c r="F10" s="22"/>
      <c r="G10" s="22"/>
      <c r="H10" s="58"/>
      <c r="I10" s="58"/>
      <c r="J10" s="22"/>
      <c r="K10" s="22"/>
      <c r="L10" s="22"/>
      <c r="M10" s="22"/>
      <c r="N10" s="22"/>
      <c r="O10" s="22"/>
      <c r="P10" s="22"/>
      <c r="Q10" s="22"/>
      <c r="R10" s="22"/>
    </row>
    <row r="11" customFormat="false" ht="21.75" hidden="false" customHeight="true" outlineLevel="0" collapsed="false">
      <c r="B11" s="11" t="s">
        <v>247</v>
      </c>
      <c r="C11" s="57" t="s">
        <v>248</v>
      </c>
      <c r="D11" s="22"/>
      <c r="E11" s="22"/>
      <c r="F11" s="22"/>
      <c r="G11" s="22"/>
      <c r="H11" s="22"/>
      <c r="I11" s="58"/>
      <c r="J11" s="58"/>
      <c r="K11" s="22"/>
      <c r="L11" s="22"/>
      <c r="M11" s="22"/>
      <c r="N11" s="22"/>
      <c r="O11" s="22"/>
      <c r="P11" s="22"/>
      <c r="Q11" s="22"/>
      <c r="R11" s="22"/>
    </row>
    <row r="12" customFormat="false" ht="21.75" hidden="false" customHeight="true" outlineLevel="0" collapsed="false">
      <c r="B12" s="11" t="s">
        <v>249</v>
      </c>
      <c r="C12" s="57" t="s">
        <v>250</v>
      </c>
      <c r="D12" s="22"/>
      <c r="E12" s="22"/>
      <c r="F12" s="22"/>
      <c r="G12" s="22"/>
      <c r="H12" s="22"/>
      <c r="I12" s="22"/>
      <c r="J12" s="22"/>
      <c r="K12" s="58"/>
      <c r="L12" s="22"/>
      <c r="M12" s="22"/>
      <c r="N12" s="22"/>
      <c r="O12" s="22"/>
      <c r="P12" s="22"/>
      <c r="Q12" s="22"/>
      <c r="R12" s="22"/>
    </row>
    <row r="13" customFormat="false" ht="21.75" hidden="false" customHeight="true" outlineLevel="0" collapsed="false">
      <c r="B13" s="11" t="s">
        <v>251</v>
      </c>
      <c r="C13" s="57" t="s">
        <v>252</v>
      </c>
      <c r="D13" s="22"/>
      <c r="E13" s="22"/>
      <c r="F13" s="22"/>
      <c r="G13" s="22"/>
      <c r="H13" s="22"/>
      <c r="I13" s="22"/>
      <c r="J13" s="22"/>
      <c r="K13" s="22"/>
      <c r="L13" s="22"/>
      <c r="M13" s="58"/>
      <c r="N13" s="58"/>
      <c r="O13" s="22"/>
      <c r="P13" s="22"/>
      <c r="Q13" s="22"/>
      <c r="R13" s="22"/>
    </row>
    <row r="14" customFormat="false" ht="21.75" hidden="false" customHeight="true" outlineLevel="0" collapsed="false">
      <c r="B14" s="11" t="s">
        <v>253</v>
      </c>
      <c r="C14" s="57" t="s">
        <v>254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58"/>
      <c r="P14" s="22"/>
      <c r="Q14" s="22"/>
      <c r="R14" s="22"/>
    </row>
    <row r="15" customFormat="false" ht="21.75" hidden="false" customHeight="true" outlineLevel="0" collapsed="false">
      <c r="B15" s="11" t="s">
        <v>118</v>
      </c>
      <c r="C15" s="57" t="s">
        <v>255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58"/>
      <c r="Q15" s="58"/>
      <c r="R15" s="22"/>
    </row>
    <row r="16" customFormat="false" ht="21.75" hidden="false" customHeight="true" outlineLevel="0" collapsed="false">
      <c r="B16" s="11" t="s">
        <v>120</v>
      </c>
      <c r="C16" s="57" t="s">
        <v>256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58"/>
    </row>
    <row r="18" customFormat="false" ht="21.75" hidden="false" customHeight="true" outlineLevel="0" collapsed="false"/>
    <row r="19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2026-07-28T06:36:43Z</dcterms:created>
  <dc:creator>openpyxl</dc:creator>
  <dc:description/>
  <dc:language>en-IN</dc:language>
  <cp:lastModifiedBy/>
  <dcterms:modified xsi:type="dcterms:W3CDTF">2026-07-28T13:14:16Z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